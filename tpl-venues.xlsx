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填表说明" sheetId="1" r:id="rId1"/>
    <sheet name="阵地台账" sheetId="2" r:id="rId2"/>
    <sheet name="门禁设备清单" sheetId="3" r:id="rId3"/>
    <sheet name="摄像头设备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<sst xmlns="http://schemas.openxmlformats.org/spreadsheetml/2006/main" count="86" uniqueCount="73">
  <si>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荆州供电公司工会活动阵地台账与设备清单填报模板</t>
  </si>
  <si>
    <t>一、填报范围</t>
  </si>
  <si>
    <t>荆州供电公司本部 23 处、各县（市、区）供电公司 44 处，共 67 处职工活动阵地，逐处填报、不重不漏。</t>
  </si>
  <si>
    <t>二、填报要求</t>
  </si>
  <si>
    <t>1. 《阵地台账》每处阵地一行；《门禁设备清单》《摄像头设备清单》每台设备一行，多台设备请复制示例行下方的空行格式续填。</t>
  </si>
  <si>
    <t>2. 各表中"所属阵地名称"必须与《阵地台账》中的阵地名称完全一致，便于系统自动关联。</t>
  </si>
  <si>
    <t>3. 黄色斜体行为填写示例，正式填报前请删除示例行。下拉选项单元格请点击单元格右侧箭头选择，不要自行输入其他值。</t>
  </si>
  <si>
    <t>4. 门禁设备"联网类型"请如实填写：联网型指可通过网络远程控制开锁；独立刷卡机指仅能本地刷卡、无法远程控制。无法判断的请在备注中说明并联系确认。</t>
  </si>
  <si>
    <t>5. 摄像头"设备序列号"和"验证码"请从设备机身标签或厂商平台获取（萤石云设备可在 App 中"设备二维码/高级设置"查看）。</t>
  </si>
  <si>
    <t>6. 填报完成后请以"单位名称-阵地台账"命名，报荆州公司工会汇总。</t>
  </si>
  <si>
    <t>三、填报单位与联系人</t>
  </si>
  <si>
    <t>填报单位：____________　填报人：____________　联系电话：____________　填报日期：____________</t>
  </si>
  <si>
    <t>四、汇总校验（自动统计，无需填写）</t>
  </si>
  <si>
    <t>阵地总数</t>
  </si>
  <si>
    <t>门禁设备数</t>
  </si>
  <si>
    <t>摄像头数</t>
  </si>
  <si>
    <t>阵地台账（每处阵地一行，示例行为黄色斜体）</t>
  </si>
  <si>
    <t>序号</t>
  </si>
  <si>
    <t>阵地名称</t>
  </si>
  <si>
    <t>所属层级</t>
  </si>
  <si>
    <t>所属单位</t>
  </si>
  <si>
    <t>详细地址</t>
  </si>
  <si>
    <t>场所类型</t>
  </si>
  <si>
    <t>面积(㎡)</t>
  </si>
  <si>
    <t>开放时间</t>
  </si>
  <si>
    <t>可容纳人数</t>
  </si>
  <si>
    <t>主要设施清单</t>
  </si>
  <si>
    <t>阵地管理员</t>
  </si>
  <si>
    <t>联系电话</t>
  </si>
  <si>
    <t>备注</t>
  </si>
  <si>
    <t>本部职工活动中心</t>
  </si>
  <si>
    <t>本部</t>
  </si>
  <si>
    <t>荆州供电公司工会</t>
  </si>
  <si>
    <t>荆州市xx区xx路xx号院内2号楼1层</t>
  </si>
  <si>
    <t>健身房</t>
  </si>
  <si>
    <t>320</t>
  </si>
  <si>
    <t>工作日 8:00-21:00，周末 9:00-18:00</t>
  </si>
  <si>
    <t>50</t>
  </si>
  <si>
    <t>跑步机2台、乒乓球桌1张、健身器材1组</t>
  </si>
  <si>
    <t>张三</t>
  </si>
  <si>
    <t>138xxxx0000</t>
  </si>
  <si>
    <t>含淋浴间1间</t>
  </si>
  <si>
    <t>门禁设备清单（每台设备一行）</t>
  </si>
  <si>
    <t>所属阵地名称</t>
  </si>
  <si>
    <t>门禁品牌</t>
  </si>
  <si>
    <t>型号</t>
  </si>
  <si>
    <t>联网类型</t>
  </si>
  <si>
    <t>接入方式</t>
  </si>
  <si>
    <t>设备序列号/IP</t>
  </si>
  <si>
    <t>安装位置</t>
  </si>
  <si>
    <t>门禁管理员</t>
  </si>
  <si>
    <t>示例</t>
  </si>
  <si>
    <t>海康威视</t>
  </si>
  <si>
    <t>DS-K1T671M</t>
  </si>
  <si>
    <t>联网型</t>
  </si>
  <si>
    <t>厂商SDK</t>
  </si>
  <si>
    <t>192.168.1.101</t>
  </si>
  <si>
    <t>正门入口</t>
  </si>
  <si>
    <t>支持人脸+刷卡</t>
  </si>
  <si>
    <t>摄像头设备清单（每台设备一行）</t>
  </si>
  <si>
    <t>摄像头品牌</t>
  </si>
  <si>
    <t>接入平台</t>
  </si>
  <si>
    <t>设备序列号</t>
  </si>
  <si>
    <t>设备验证码</t>
  </si>
  <si>
    <t>画面覆盖区域</t>
  </si>
  <si>
    <t>萤石</t>
  </si>
  <si>
    <t>C8W</t>
  </si>
  <si>
    <t>萤石云</t>
  </si>
  <si>
    <t>F12345678</t>
  </si>
  <si>
    <t>ABCD12</t>
  </si>
  <si>
    <t>大厅顶部东侧</t>
  </si>
  <si>
    <t>健身房全域</t>
  </si>
  <si>
    <t>已接入萤石云账号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</si>
</sst>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2F5597"/>
      <name val="微软雅黑"/>
      <charset val="134"/>
    </font>
    <font>
      <b/>
      <sz val="11"/>
      <color rgb="FFFFFFFF"/>
      <name val="微软雅黑"/>
      <charset val="134"/>
    </font>
    <font>
      <i/>
      <sz val="1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00" dbFileVersion="0" changeLogVersion="0">
    <open main="38" threadCnt="1"/>
    <sheetInfos>
      <sheetInfo cellCmpFml="3" sheetStid="1">
        <open main="1" threadCnt="1"/>
      </sheetInfo>
      <sheetInfo cellCmpFml="197" sheetStid="2">
        <open main="4" threadCnt="1"/>
      </sheetInfo>
      <sheetInfo cellCmpFml="0" sheetStid="3">
        <open threadCnt="1"/>
      </sheetInfo>
      <sheetInfo cellCmpFml="0" sheetStid="4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" sqref="A1"/>
    </sheetView>
  </sheetViews>
  <sheetFormatPr defaultColWidth="9" defaultRowHeight="13.5" outlineLevelCol="1"/>
  <cols>
    <col min="1" max="1" width="10.125" customWidth="1"/>
    <col min="2" max="2" width="110" customWidth="1"/>
  </cols>
  <sheetData>
    <row r="1" ht="21" spans="1:2">
      <c r="B1" s="1" t="s">
        <v>0</v>
      </c>
    </row>
    <row r="2" ht="15" spans="1:2">
      <c r="B2" s="4" t="s">
        <v>1</v>
      </c>
    </row>
    <row r="3" ht="16.5" spans="1:2">
      <c r="B3" s="5" t="s">
        <v>2</v>
      </c>
    </row>
    <row r="4" ht="15" spans="1:2">
      <c r="B4" s="4" t="s">
        <v>3</v>
      </c>
    </row>
    <row r="5" ht="16.5" spans="1:2">
      <c r="B5" s="5" t="s">
        <v>4</v>
      </c>
    </row>
    <row r="6" ht="16.5" spans="1:2">
      <c r="B6" s="5" t="s">
        <v>5</v>
      </c>
    </row>
    <row r="7" ht="16.5" spans="1:2">
      <c r="B7" s="5" t="s">
        <v>6</v>
      </c>
    </row>
    <row r="8" ht="33" spans="1:2">
      <c r="B8" s="5" t="s">
        <v>7</v>
      </c>
    </row>
    <row r="9" ht="16.5" spans="1:2">
      <c r="B9" s="5" t="s">
        <v>8</v>
      </c>
    </row>
    <row r="10" ht="16.5" spans="1:2">
      <c r="B10" s="5" t="s">
        <v>9</v>
      </c>
    </row>
    <row r="11" ht="15" spans="1:2">
      <c r="B11" s="4" t="s">
        <v>10</v>
      </c>
    </row>
    <row r="12" ht="16.5" spans="1:2">
      <c r="B12" s="5" t="s">
        <v>11</v>
      </c>
    </row>
    <row r="14" ht="15" spans="1:2">
      <c r="B14" s="6" t="s">
        <v>12</v>
      </c>
    </row>
    <row r="15" ht="16.5" spans="1:2">
      <c r="A15" s="7" t="s">
        <v>13</v>
      </c>
      <c r="B15" s="7">
        <f xml:space="preserve">COUNTA(阵地台账!B4:B200)</f>
        <v>1</v>
      </c>
    </row>
    <row r="16" ht="16.5" spans="1:2">
      <c r="A16" s="7" t="s">
        <v>14</v>
      </c>
      <c r="B16" s="7">
        <f xml:space="preserve">COUNTA(门禁设备清单!B4:B500)</f>
        <v>1</v>
      </c>
    </row>
    <row r="17" ht="16.5" spans="1:2">
      <c r="A17" s="7" t="s">
        <v>15</v>
      </c>
      <c r="B17" s="7">
        <f xml:space="preserve">COUNTA(摄像头设备清单!B4:B500)</f>
        <v>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3.5"/>
  <cols>
    <col min="1" max="1" width="6" customWidth="1"/>
    <col min="2" max="2" width="24" customWidth="1"/>
    <col min="3" max="3" width="10" customWidth="1"/>
    <col min="4" max="4" width="22" customWidth="1"/>
    <col min="5" max="5" width="34" customWidth="1"/>
    <col min="6" max="6" width="14" customWidth="1"/>
    <col min="7" max="7" width="10" customWidth="1"/>
    <col min="8" max="8" width="26" customWidth="1"/>
    <col min="9" max="9" width="12" customWidth="1"/>
    <col min="10" max="10" width="34" customWidth="1"/>
    <col min="11" max="11" width="12" customWidth="1"/>
    <col min="12" max="12" width="14" customWidth="1"/>
    <col min="13" max="13" width="20" customWidth="1"/>
  </cols>
  <sheetData>
    <row r="1" ht="24" customHeight="1" spans="1:13">
      <c r="A1" s="1" t="s">
        <v>16</v>
      </c>
    </row>
    <row r="3" ht="30" customHeight="1" spans="1:1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</row>
    <row r="4" ht="33" spans="1:13">
      <c r="A4" s="3">
        <f xml:space="preserve">IF(B4="","",COUNTA(B$4:B4))</f>
        <v>1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</row>
    <row r="5" spans="1:13">
      <c r="A5" t="str">
        <f xml:space="preserve">IF(B5="","",COUNTA(B$4:B5))</f>
        <v/>
      </c>
    </row>
    <row r="6" spans="1:13">
      <c r="A6" t="str">
        <f xml:space="preserve">IF(B6="","",COUNTA(B$4:B6))</f>
        <v/>
      </c>
    </row>
    <row r="7" spans="1:13">
      <c r="A7" t="str">
        <f xml:space="preserve">IF(B7="","",COUNTA(B$4:B7))</f>
        <v/>
      </c>
    </row>
    <row r="8" spans="1:13">
      <c r="A8" t="str">
        <f xml:space="preserve">IF(B8="","",COUNTA(B$4:B8))</f>
        <v/>
      </c>
    </row>
    <row r="9" spans="1:13">
      <c r="A9" t="str">
        <f xml:space="preserve">IF(B9="","",COUNTA(B$4:B9))</f>
        <v/>
      </c>
    </row>
    <row r="10" spans="1:13">
      <c r="A10" t="str">
        <f xml:space="preserve">IF(B10="","",COUNTA(B$4:B10))</f>
        <v/>
      </c>
    </row>
    <row r="11" spans="1:13">
      <c r="A11" t="str">
        <f xml:space="preserve">IF(B11="","",COUNTA(B$4:B11))</f>
        <v/>
      </c>
    </row>
    <row r="12" spans="1:13">
      <c r="A12" t="str">
        <f xml:space="preserve">IF(B12="","",COUNTA(B$4:B12))</f>
        <v/>
      </c>
    </row>
    <row r="13" spans="1:13">
      <c r="A13" t="str">
        <f xml:space="preserve">IF(B13="","",COUNTA(B$4:B13))</f>
        <v/>
      </c>
    </row>
    <row r="14" spans="1:13">
      <c r="A14" t="str">
        <f xml:space="preserve">IF(B14="","",COUNTA(B$4:B14))</f>
        <v/>
      </c>
    </row>
    <row r="15" spans="1:13">
      <c r="A15" t="str">
        <f xml:space="preserve">IF(B15="","",COUNTA(B$4:B15))</f>
        <v/>
      </c>
    </row>
    <row r="16" spans="1:13">
      <c r="A16" t="str">
        <f xml:space="preserve">IF(B16="","",COUNTA(B$4:B16))</f>
        <v/>
      </c>
    </row>
    <row r="17" spans="1:1">
      <c r="A17" t="str">
        <f xml:space="preserve">IF(B17="","",COUNTA(B$4:B17))</f>
        <v/>
      </c>
    </row>
    <row r="18" spans="1:1">
      <c r="A18" t="str">
        <f xml:space="preserve">IF(B18="","",COUNTA(B$4:B18))</f>
        <v/>
      </c>
    </row>
    <row r="19" spans="1:1">
      <c r="A19" t="str">
        <f xml:space="preserve">IF(B19="","",COUNTA(B$4:B19))</f>
        <v/>
      </c>
    </row>
    <row r="20" spans="1:1">
      <c r="A20" t="str">
        <f xml:space="preserve">IF(B20="","",COUNTA(B$4:B20))</f>
        <v/>
      </c>
    </row>
    <row r="21" spans="1:1">
      <c r="A21" t="str">
        <f xml:space="preserve">IF(B21="","",COUNTA(B$4:B21))</f>
        <v/>
      </c>
    </row>
    <row r="22" spans="1:1">
      <c r="A22" t="str">
        <f xml:space="preserve">IF(B22="","",COUNTA(B$4:B22))</f>
        <v/>
      </c>
    </row>
    <row r="23" spans="1:1">
      <c r="A23" t="str">
        <f xml:space="preserve">IF(B23="","",COUNTA(B$4:B23))</f>
        <v/>
      </c>
    </row>
    <row r="24" spans="1:1">
      <c r="A24" t="str">
        <f xml:space="preserve">IF(B24="","",COUNTA(B$4:B24))</f>
        <v/>
      </c>
    </row>
    <row r="25" spans="1:1">
      <c r="A25" t="str">
        <f xml:space="preserve">IF(B25="","",COUNTA(B$4:B25))</f>
        <v/>
      </c>
    </row>
    <row r="26" spans="1:1">
      <c r="A26" t="str">
        <f xml:space="preserve">IF(B26="","",COUNTA(B$4:B26))</f>
        <v/>
      </c>
    </row>
    <row r="27" spans="1:1">
      <c r="A27" t="str">
        <f xml:space="preserve">IF(B27="","",COUNTA(B$4:B27))</f>
        <v/>
      </c>
    </row>
    <row r="28" spans="1:1">
      <c r="A28" t="str">
        <f xml:space="preserve">IF(B28="","",COUNTA(B$4:B28))</f>
        <v/>
      </c>
    </row>
    <row r="29" spans="1:1">
      <c r="A29" t="str">
        <f xml:space="preserve">IF(B29="","",COUNTA(B$4:B29))</f>
        <v/>
      </c>
    </row>
    <row r="30" spans="1:1">
      <c r="A30" t="str">
        <f xml:space="preserve">IF(B30="","",COUNTA(B$4:B30))</f>
        <v/>
      </c>
    </row>
    <row r="31" spans="1:1">
      <c r="A31" t="str">
        <f xml:space="preserve">IF(B31="","",COUNTA(B$4:B31))</f>
        <v/>
      </c>
    </row>
    <row r="32" spans="1:1">
      <c r="A32" t="str">
        <f xml:space="preserve">IF(B32="","",COUNTA(B$4:B32))</f>
        <v/>
      </c>
    </row>
    <row r="33" spans="1:1">
      <c r="A33" t="str">
        <f xml:space="preserve">IF(B33="","",COUNTA(B$4:B33))</f>
        <v/>
      </c>
    </row>
    <row r="34" spans="1:1">
      <c r="A34" t="str">
        <f xml:space="preserve">IF(B34="","",COUNTA(B$4:B34))</f>
        <v/>
      </c>
    </row>
    <row r="35" spans="1:1">
      <c r="A35" t="str">
        <f xml:space="preserve">IF(B35="","",COUNTA(B$4:B35))</f>
        <v/>
      </c>
    </row>
    <row r="36" spans="1:1">
      <c r="A36" t="str">
        <f xml:space="preserve">IF(B36="","",COUNTA(B$4:B36))</f>
        <v/>
      </c>
    </row>
    <row r="37" spans="1:1">
      <c r="A37" t="str">
        <f xml:space="preserve">IF(B37="","",COUNTA(B$4:B37))</f>
        <v/>
      </c>
    </row>
    <row r="38" spans="1:1">
      <c r="A38" t="str">
        <f xml:space="preserve">IF(B38="","",COUNTA(B$4:B38))</f>
        <v/>
      </c>
    </row>
    <row r="39" spans="1:1">
      <c r="A39" t="str">
        <f xml:space="preserve">IF(B39="","",COUNTA(B$4:B39))</f>
        <v/>
      </c>
    </row>
    <row r="40" spans="1:1">
      <c r="A40" t="str">
        <f xml:space="preserve">IF(B40="","",COUNTA(B$4:B40))</f>
        <v/>
      </c>
    </row>
    <row r="41" spans="1:1">
      <c r="A41" t="str">
        <f xml:space="preserve">IF(B41="","",COUNTA(B$4:B41))</f>
        <v/>
      </c>
    </row>
    <row r="42" spans="1:1">
      <c r="A42" t="str">
        <f xml:space="preserve">IF(B42="","",COUNTA(B$4:B42))</f>
        <v/>
      </c>
    </row>
    <row r="43" spans="1:1">
      <c r="A43" t="str">
        <f xml:space="preserve">IF(B43="","",COUNTA(B$4:B43))</f>
        <v/>
      </c>
    </row>
    <row r="44" spans="1:1">
      <c r="A44" t="str">
        <f xml:space="preserve">IF(B44="","",COUNTA(B$4:B44))</f>
        <v/>
      </c>
    </row>
    <row r="45" spans="1:1">
      <c r="A45" t="str">
        <f xml:space="preserve">IF(B45="","",COUNTA(B$4:B45))</f>
        <v/>
      </c>
    </row>
    <row r="46" spans="1:1">
      <c r="A46" t="str">
        <f xml:space="preserve">IF(B46="","",COUNTA(B$4:B46))</f>
        <v/>
      </c>
    </row>
    <row r="47" spans="1:1">
      <c r="A47" t="str">
        <f xml:space="preserve">IF(B47="","",COUNTA(B$4:B47))</f>
        <v/>
      </c>
    </row>
    <row r="48" spans="1:1">
      <c r="A48" t="str">
        <f xml:space="preserve">IF(B48="","",COUNTA(B$4:B48))</f>
        <v/>
      </c>
    </row>
    <row r="49" spans="1:1">
      <c r="A49" t="str">
        <f xml:space="preserve">IF(B49="","",COUNTA(B$4:B49))</f>
        <v/>
      </c>
    </row>
    <row r="50" spans="1:1">
      <c r="A50" t="str">
        <f xml:space="preserve">IF(B50="","",COUNTA(B$4:B50))</f>
        <v/>
      </c>
    </row>
    <row r="51" spans="1:1">
      <c r="A51" t="str">
        <f xml:space="preserve">IF(B51="","",COUNTA(B$4:B51))</f>
        <v/>
      </c>
    </row>
    <row r="52" spans="1:1">
      <c r="A52" t="str">
        <f xml:space="preserve">IF(B52="","",COUNTA(B$4:B52))</f>
        <v/>
      </c>
    </row>
    <row r="53" spans="1:1">
      <c r="A53" t="str">
        <f xml:space="preserve">IF(B53="","",COUNTA(B$4:B53))</f>
        <v/>
      </c>
    </row>
    <row r="54" spans="1:1">
      <c r="A54" t="str">
        <f xml:space="preserve">IF(B54="","",COUNTA(B$4:B54))</f>
        <v/>
      </c>
    </row>
    <row r="55" spans="1:1">
      <c r="A55" t="str">
        <f xml:space="preserve">IF(B55="","",COUNTA(B$4:B55))</f>
        <v/>
      </c>
    </row>
    <row r="56" spans="1:1">
      <c r="A56" t="str">
        <f xml:space="preserve">IF(B56="","",COUNTA(B$4:B56))</f>
        <v/>
      </c>
    </row>
    <row r="57" spans="1:1">
      <c r="A57" t="str">
        <f xml:space="preserve">IF(B57="","",COUNTA(B$4:B57))</f>
        <v/>
      </c>
    </row>
    <row r="58" spans="1:1">
      <c r="A58" t="str">
        <f xml:space="preserve">IF(B58="","",COUNTA(B$4:B58))</f>
        <v/>
      </c>
    </row>
    <row r="59" spans="1:1">
      <c r="A59" t="str">
        <f xml:space="preserve">IF(B59="","",COUNTA(B$4:B59))</f>
        <v/>
      </c>
    </row>
    <row r="60" spans="1:1">
      <c r="A60" t="str">
        <f xml:space="preserve">IF(B60="","",COUNTA(B$4:B60))</f>
        <v/>
      </c>
    </row>
    <row r="61" spans="1:1">
      <c r="A61" t="str">
        <f xml:space="preserve">IF(B61="","",COUNTA(B$4:B61))</f>
        <v/>
      </c>
    </row>
    <row r="62" spans="1:1">
      <c r="A62" t="str">
        <f xml:space="preserve">IF(B62="","",COUNTA(B$4:B62))</f>
        <v/>
      </c>
    </row>
    <row r="63" spans="1:1">
      <c r="A63" t="str">
        <f xml:space="preserve">IF(B63="","",COUNTA(B$4:B63))</f>
        <v/>
      </c>
    </row>
    <row r="64" spans="1:1">
      <c r="A64" t="str">
        <f xml:space="preserve">IF(B64="","",COUNTA(B$4:B64))</f>
        <v/>
      </c>
    </row>
    <row r="65" spans="1:1">
      <c r="A65" t="str">
        <f xml:space="preserve">IF(B65="","",COUNTA(B$4:B65))</f>
        <v/>
      </c>
    </row>
    <row r="66" spans="1:1">
      <c r="A66" t="str">
        <f xml:space="preserve">IF(B66="","",COUNTA(B$4:B66))</f>
        <v/>
      </c>
    </row>
    <row r="67" spans="1:1">
      <c r="A67" t="str">
        <f xml:space="preserve">IF(B67="","",COUNTA(B$4:B67))</f>
        <v/>
      </c>
    </row>
    <row r="68" spans="1:1">
      <c r="A68" t="str">
        <f xml:space="preserve">IF(B68="","",COUNTA(B$4:B68))</f>
        <v/>
      </c>
    </row>
    <row r="69" spans="1:1">
      <c r="A69" t="str">
        <f xml:space="preserve">IF(B69="","",COUNTA(B$4:B69))</f>
        <v/>
      </c>
    </row>
    <row r="70" spans="1:1">
      <c r="A70" t="str">
        <f xml:space="preserve">IF(B70="","",COUNTA(B$4:B70))</f>
        <v/>
      </c>
    </row>
    <row r="71" spans="1:1">
      <c r="A71" t="str">
        <f xml:space="preserve">IF(B71="","",COUNTA(B$4:B71))</f>
        <v/>
      </c>
    </row>
    <row r="72" spans="1:1">
      <c r="A72" t="str">
        <f xml:space="preserve">IF(B72="","",COUNTA(B$4:B72))</f>
        <v/>
      </c>
    </row>
    <row r="73" spans="1:1">
      <c r="A73" t="str">
        <f xml:space="preserve">IF(B73="","",COUNTA(B$4:B73))</f>
        <v/>
      </c>
    </row>
    <row r="74" spans="1:1">
      <c r="A74" t="str">
        <f xml:space="preserve">IF(B74="","",COUNTA(B$4:B74))</f>
        <v/>
      </c>
    </row>
    <row r="75" spans="1:1">
      <c r="A75" t="str">
        <f xml:space="preserve">IF(B75="","",COUNTA(B$4:B75))</f>
        <v/>
      </c>
    </row>
    <row r="76" spans="1:1">
      <c r="A76" t="str">
        <f xml:space="preserve">IF(B76="","",COUNTA(B$4:B76))</f>
        <v/>
      </c>
    </row>
    <row r="77" spans="1:1">
      <c r="A77" t="str">
        <f xml:space="preserve">IF(B77="","",COUNTA(B$4:B77))</f>
        <v/>
      </c>
    </row>
    <row r="78" spans="1:1">
      <c r="A78" t="str">
        <f xml:space="preserve">IF(B78="","",COUNTA(B$4:B78))</f>
        <v/>
      </c>
    </row>
    <row r="79" spans="1:1">
      <c r="A79" t="str">
        <f xml:space="preserve">IF(B79="","",COUNTA(B$4:B79))</f>
        <v/>
      </c>
    </row>
    <row r="80" spans="1:1">
      <c r="A80" t="str">
        <f xml:space="preserve">IF(B80="","",COUNTA(B$4:B80))</f>
        <v/>
      </c>
    </row>
    <row r="81" spans="1:1">
      <c r="A81" t="str">
        <f xml:space="preserve">IF(B81="","",COUNTA(B$4:B81))</f>
        <v/>
      </c>
    </row>
    <row r="82" spans="1:1">
      <c r="A82" t="str">
        <f xml:space="preserve">IF(B82="","",COUNTA(B$4:B82))</f>
        <v/>
      </c>
    </row>
    <row r="83" spans="1:1">
      <c r="A83" t="str">
        <f xml:space="preserve">IF(B83="","",COUNTA(B$4:B83))</f>
        <v/>
      </c>
    </row>
    <row r="84" spans="1:1">
      <c r="A84" t="str">
        <f xml:space="preserve">IF(B84="","",COUNTA(B$4:B84))</f>
        <v/>
      </c>
    </row>
    <row r="85" spans="1:1">
      <c r="A85" t="str">
        <f xml:space="preserve">IF(B85="","",COUNTA(B$4:B85))</f>
        <v/>
      </c>
    </row>
    <row r="86" spans="1:1">
      <c r="A86" t="str">
        <f xml:space="preserve">IF(B86="","",COUNTA(B$4:B86))</f>
        <v/>
      </c>
    </row>
    <row r="87" spans="1:1">
      <c r="A87" t="str">
        <f xml:space="preserve">IF(B87="","",COUNTA(B$4:B87))</f>
        <v/>
      </c>
    </row>
    <row r="88" spans="1:1">
      <c r="A88" t="str">
        <f xml:space="preserve">IF(B88="","",COUNTA(B$4:B88))</f>
        <v/>
      </c>
    </row>
    <row r="89" spans="1:1">
      <c r="A89" t="str">
        <f xml:space="preserve">IF(B89="","",COUNTA(B$4:B89))</f>
        <v/>
      </c>
    </row>
    <row r="90" spans="1:1">
      <c r="A90" t="str">
        <f xml:space="preserve">IF(B90="","",COUNTA(B$4:B90))</f>
        <v/>
      </c>
    </row>
    <row r="91" spans="1:1">
      <c r="A91" t="str">
        <f xml:space="preserve">IF(B91="","",COUNTA(B$4:B91))</f>
        <v/>
      </c>
    </row>
    <row r="92" spans="1:1">
      <c r="A92" t="str">
        <f xml:space="preserve">IF(B92="","",COUNTA(B$4:B92))</f>
        <v/>
      </c>
    </row>
    <row r="93" spans="1:1">
      <c r="A93" t="str">
        <f xml:space="preserve">IF(B93="","",COUNTA(B$4:B93))</f>
        <v/>
      </c>
    </row>
    <row r="94" spans="1:1">
      <c r="A94" t="str">
        <f xml:space="preserve">IF(B94="","",COUNTA(B$4:B94))</f>
        <v/>
      </c>
    </row>
    <row r="95" spans="1:1">
      <c r="A95" t="str">
        <f xml:space="preserve">IF(B95="","",COUNTA(B$4:B95))</f>
        <v/>
      </c>
    </row>
    <row r="96" spans="1:1">
      <c r="A96" t="str">
        <f xml:space="preserve">IF(B96="","",COUNTA(B$4:B96))</f>
        <v/>
      </c>
    </row>
    <row r="97" spans="1:1">
      <c r="A97" t="str">
        <f xml:space="preserve">IF(B97="","",COUNTA(B$4:B97))</f>
        <v/>
      </c>
    </row>
    <row r="98" spans="1:1">
      <c r="A98" t="str">
        <f xml:space="preserve">IF(B98="","",COUNTA(B$4:B98))</f>
        <v/>
      </c>
    </row>
    <row r="99" spans="1:1">
      <c r="A99" t="str">
        <f xml:space="preserve">IF(B99="","",COUNTA(B$4:B99))</f>
        <v/>
      </c>
    </row>
    <row r="100" spans="1:1">
      <c r="A100" t="str">
        <f xml:space="preserve">IF(B100="","",COUNTA(B$4:B100))</f>
        <v/>
      </c>
    </row>
    <row r="101" spans="1:1">
      <c r="A101" t="str">
        <f xml:space="preserve">IF(B101="","",COUNTA(B$4:B101))</f>
        <v/>
      </c>
    </row>
    <row r="102" spans="1:1">
      <c r="A102" t="str">
        <f xml:space="preserve">IF(B102="","",COUNTA(B$4:B102))</f>
        <v/>
      </c>
    </row>
    <row r="103" spans="1:1">
      <c r="A103" t="str">
        <f xml:space="preserve">IF(B103="","",COUNTA(B$4:B103))</f>
        <v/>
      </c>
    </row>
    <row r="104" spans="1:1">
      <c r="A104" t="str">
        <f xml:space="preserve">IF(B104="","",COUNTA(B$4:B104))</f>
        <v/>
      </c>
    </row>
    <row r="105" spans="1:1">
      <c r="A105" t="str">
        <f xml:space="preserve">IF(B105="","",COUNTA(B$4:B105))</f>
        <v/>
      </c>
    </row>
    <row r="106" spans="1:1">
      <c r="A106" t="str">
        <f xml:space="preserve">IF(B106="","",COUNTA(B$4:B106))</f>
        <v/>
      </c>
    </row>
    <row r="107" spans="1:1">
      <c r="A107" t="str">
        <f xml:space="preserve">IF(B107="","",COUNTA(B$4:B107))</f>
        <v/>
      </c>
    </row>
    <row r="108" spans="1:1">
      <c r="A108" t="str">
        <f xml:space="preserve">IF(B108="","",COUNTA(B$4:B108))</f>
        <v/>
      </c>
    </row>
    <row r="109" spans="1:1">
      <c r="A109" t="str">
        <f xml:space="preserve">IF(B109="","",COUNTA(B$4:B109))</f>
        <v/>
      </c>
    </row>
    <row r="110" spans="1:1">
      <c r="A110" t="str">
        <f xml:space="preserve">IF(B110="","",COUNTA(B$4:B110))</f>
        <v/>
      </c>
    </row>
    <row r="111" spans="1:1">
      <c r="A111" t="str">
        <f xml:space="preserve">IF(B111="","",COUNTA(B$4:B111))</f>
        <v/>
      </c>
    </row>
    <row r="112" spans="1:1">
      <c r="A112" t="str">
        <f xml:space="preserve">IF(B112="","",COUNTA(B$4:B112))</f>
        <v/>
      </c>
    </row>
    <row r="113" spans="1:1">
      <c r="A113" t="str">
        <f xml:space="preserve">IF(B113="","",COUNTA(B$4:B113))</f>
        <v/>
      </c>
    </row>
    <row r="114" spans="1:1">
      <c r="A114" t="str">
        <f xml:space="preserve">IF(B114="","",COUNTA(B$4:B114))</f>
        <v/>
      </c>
    </row>
    <row r="115" spans="1:1">
      <c r="A115" t="str">
        <f xml:space="preserve">IF(B115="","",COUNTA(B$4:B115))</f>
        <v/>
      </c>
    </row>
    <row r="116" spans="1:1">
      <c r="A116" t="str">
        <f xml:space="preserve">IF(B116="","",COUNTA(B$4:B116))</f>
        <v/>
      </c>
    </row>
    <row r="117" spans="1:1">
      <c r="A117" t="str">
        <f xml:space="preserve">IF(B117="","",COUNTA(B$4:B117))</f>
        <v/>
      </c>
    </row>
    <row r="118" spans="1:1">
      <c r="A118" t="str">
        <f xml:space="preserve">IF(B118="","",COUNTA(B$4:B118))</f>
        <v/>
      </c>
    </row>
    <row r="119" spans="1:1">
      <c r="A119" t="str">
        <f xml:space="preserve">IF(B119="","",COUNTA(B$4:B119))</f>
        <v/>
      </c>
    </row>
    <row r="120" spans="1:1">
      <c r="A120" t="str">
        <f xml:space="preserve">IF(B120="","",COUNTA(B$4:B120))</f>
        <v/>
      </c>
    </row>
    <row r="121" spans="1:1">
      <c r="A121" t="str">
        <f xml:space="preserve">IF(B121="","",COUNTA(B$4:B121))</f>
        <v/>
      </c>
    </row>
    <row r="122" spans="1:1">
      <c r="A122" t="str">
        <f xml:space="preserve">IF(B122="","",COUNTA(B$4:B122))</f>
        <v/>
      </c>
    </row>
    <row r="123" spans="1:1">
      <c r="A123" t="str">
        <f xml:space="preserve">IF(B123="","",COUNTA(B$4:B123))</f>
        <v/>
      </c>
    </row>
    <row r="124" spans="1:1">
      <c r="A124" t="str">
        <f xml:space="preserve">IF(B124="","",COUNTA(B$4:B124))</f>
        <v/>
      </c>
    </row>
    <row r="125" spans="1:1">
      <c r="A125" t="str">
        <f xml:space="preserve">IF(B125="","",COUNTA(B$4:B125))</f>
        <v/>
      </c>
    </row>
    <row r="126" spans="1:1">
      <c r="A126" t="str">
        <f xml:space="preserve">IF(B126="","",COUNTA(B$4:B126))</f>
        <v/>
      </c>
    </row>
    <row r="127" spans="1:1">
      <c r="A127" t="str">
        <f xml:space="preserve">IF(B127="","",COUNTA(B$4:B127))</f>
        <v/>
      </c>
    </row>
    <row r="128" spans="1:1">
      <c r="A128" t="str">
        <f xml:space="preserve">IF(B128="","",COUNTA(B$4:B128))</f>
        <v/>
      </c>
    </row>
    <row r="129" spans="1:1">
      <c r="A129" t="str">
        <f xml:space="preserve">IF(B129="","",COUNTA(B$4:B129))</f>
        <v/>
      </c>
    </row>
    <row r="130" spans="1:1">
      <c r="A130" t="str">
        <f xml:space="preserve">IF(B130="","",COUNTA(B$4:B130))</f>
        <v/>
      </c>
    </row>
    <row r="131" spans="1:1">
      <c r="A131" t="str">
        <f xml:space="preserve">IF(B131="","",COUNTA(B$4:B131))</f>
        <v/>
      </c>
    </row>
    <row r="132" spans="1:1">
      <c r="A132" t="str">
        <f xml:space="preserve">IF(B132="","",COUNTA(B$4:B132))</f>
        <v/>
      </c>
    </row>
    <row r="133" spans="1:1">
      <c r="A133" t="str">
        <f xml:space="preserve">IF(B133="","",COUNTA(B$4:B133))</f>
        <v/>
      </c>
    </row>
    <row r="134" spans="1:1">
      <c r="A134" t="str">
        <f xml:space="preserve">IF(B134="","",COUNTA(B$4:B134))</f>
        <v/>
      </c>
    </row>
    <row r="135" spans="1:1">
      <c r="A135" t="str">
        <f xml:space="preserve">IF(B135="","",COUNTA(B$4:B135))</f>
        <v/>
      </c>
    </row>
    <row r="136" spans="1:1">
      <c r="A136" t="str">
        <f xml:space="preserve">IF(B136="","",COUNTA(B$4:B136))</f>
        <v/>
      </c>
    </row>
    <row r="137" spans="1:1">
      <c r="A137" t="str">
        <f xml:space="preserve">IF(B137="","",COUNTA(B$4:B137))</f>
        <v/>
      </c>
    </row>
    <row r="138" spans="1:1">
      <c r="A138" t="str">
        <f xml:space="preserve">IF(B138="","",COUNTA(B$4:B138))</f>
        <v/>
      </c>
    </row>
    <row r="139" spans="1:1">
      <c r="A139" t="str">
        <f xml:space="preserve">IF(B139="","",COUNTA(B$4:B139))</f>
        <v/>
      </c>
    </row>
    <row r="140" spans="1:1">
      <c r="A140" t="str">
        <f xml:space="preserve">IF(B140="","",COUNTA(B$4:B140))</f>
        <v/>
      </c>
    </row>
    <row r="141" spans="1:1">
      <c r="A141" t="str">
        <f xml:space="preserve">IF(B141="","",COUNTA(B$4:B141))</f>
        <v/>
      </c>
    </row>
    <row r="142" spans="1:1">
      <c r="A142" t="str">
        <f xml:space="preserve">IF(B142="","",COUNTA(B$4:B142))</f>
        <v/>
      </c>
    </row>
    <row r="143" spans="1:1">
      <c r="A143" t="str">
        <f xml:space="preserve">IF(B143="","",COUNTA(B$4:B143))</f>
        <v/>
      </c>
    </row>
    <row r="144" spans="1:1">
      <c r="A144" t="str">
        <f xml:space="preserve">IF(B144="","",COUNTA(B$4:B144))</f>
        <v/>
      </c>
    </row>
    <row r="145" spans="1:1">
      <c r="A145" t="str">
        <f xml:space="preserve">IF(B145="","",COUNTA(B$4:B145))</f>
        <v/>
      </c>
    </row>
    <row r="146" spans="1:1">
      <c r="A146" t="str">
        <f xml:space="preserve">IF(B146="","",COUNTA(B$4:B146))</f>
        <v/>
      </c>
    </row>
    <row r="147" spans="1:1">
      <c r="A147" t="str">
        <f xml:space="preserve">IF(B147="","",COUNTA(B$4:B147))</f>
        <v/>
      </c>
    </row>
    <row r="148" spans="1:1">
      <c r="A148" t="str">
        <f xml:space="preserve">IF(B148="","",COUNTA(B$4:B148))</f>
        <v/>
      </c>
    </row>
    <row r="149" spans="1:1">
      <c r="A149" t="str">
        <f xml:space="preserve">IF(B149="","",COUNTA(B$4:B149))</f>
        <v/>
      </c>
    </row>
    <row r="150" spans="1:1">
      <c r="A150" t="str">
        <f xml:space="preserve">IF(B150="","",COUNTA(B$4:B150))</f>
        <v/>
      </c>
    </row>
    <row r="151" spans="1:1">
      <c r="A151" t="str">
        <f xml:space="preserve">IF(B151="","",COUNTA(B$4:B151))</f>
        <v/>
      </c>
    </row>
    <row r="152" spans="1:1">
      <c r="A152" t="str">
        <f xml:space="preserve">IF(B152="","",COUNTA(B$4:B152))</f>
        <v/>
      </c>
    </row>
    <row r="153" spans="1:1">
      <c r="A153" t="str">
        <f xml:space="preserve">IF(B153="","",COUNTA(B$4:B153))</f>
        <v/>
      </c>
    </row>
    <row r="154" spans="1:1">
      <c r="A154" t="str">
        <f xml:space="preserve">IF(B154="","",COUNTA(B$4:B154))</f>
        <v/>
      </c>
    </row>
    <row r="155" spans="1:1">
      <c r="A155" t="str">
        <f xml:space="preserve">IF(B155="","",COUNTA(B$4:B155))</f>
        <v/>
      </c>
    </row>
    <row r="156" spans="1:1">
      <c r="A156" t="str">
        <f xml:space="preserve">IF(B156="","",COUNTA(B$4:B156))</f>
        <v/>
      </c>
    </row>
    <row r="157" spans="1:1">
      <c r="A157" t="str">
        <f xml:space="preserve">IF(B157="","",COUNTA(B$4:B157))</f>
        <v/>
      </c>
    </row>
    <row r="158" spans="1:1">
      <c r="A158" t="str">
        <f xml:space="preserve">IF(B158="","",COUNTA(B$4:B158))</f>
        <v/>
      </c>
    </row>
    <row r="159" spans="1:1">
      <c r="A159" t="str">
        <f xml:space="preserve">IF(B159="","",COUNTA(B$4:B159))</f>
        <v/>
      </c>
    </row>
    <row r="160" spans="1:1">
      <c r="A160" t="str">
        <f xml:space="preserve">IF(B160="","",COUNTA(B$4:B160))</f>
        <v/>
      </c>
    </row>
    <row r="161" spans="1:1">
      <c r="A161" t="str">
        <f xml:space="preserve">IF(B161="","",COUNTA(B$4:B161))</f>
        <v/>
      </c>
    </row>
    <row r="162" spans="1:1">
      <c r="A162" t="str">
        <f xml:space="preserve">IF(B162="","",COUNTA(B$4:B162))</f>
        <v/>
      </c>
    </row>
    <row r="163" spans="1:1">
      <c r="A163" t="str">
        <f xml:space="preserve">IF(B163="","",COUNTA(B$4:B163))</f>
        <v/>
      </c>
    </row>
    <row r="164" spans="1:1">
      <c r="A164" t="str">
        <f xml:space="preserve">IF(B164="","",COUNTA(B$4:B164))</f>
        <v/>
      </c>
    </row>
    <row r="165" spans="1:1">
      <c r="A165" t="str">
        <f xml:space="preserve">IF(B165="","",COUNTA(B$4:B165))</f>
        <v/>
      </c>
    </row>
    <row r="166" spans="1:1">
      <c r="A166" t="str">
        <f xml:space="preserve">IF(B166="","",COUNTA(B$4:B166))</f>
        <v/>
      </c>
    </row>
    <row r="167" spans="1:1">
      <c r="A167" t="str">
        <f xml:space="preserve">IF(B167="","",COUNTA(B$4:B167))</f>
        <v/>
      </c>
    </row>
    <row r="168" spans="1:1">
      <c r="A168" t="str">
        <f xml:space="preserve">IF(B168="","",COUNTA(B$4:B168))</f>
        <v/>
      </c>
    </row>
    <row r="169" spans="1:1">
      <c r="A169" t="str">
        <f xml:space="preserve">IF(B169="","",COUNTA(B$4:B169))</f>
        <v/>
      </c>
    </row>
    <row r="170" spans="1:1">
      <c r="A170" t="str">
        <f xml:space="preserve">IF(B170="","",COUNTA(B$4:B170))</f>
        <v/>
      </c>
    </row>
    <row r="171" spans="1:1">
      <c r="A171" t="str">
        <f xml:space="preserve">IF(B171="","",COUNTA(B$4:B171))</f>
        <v/>
      </c>
    </row>
    <row r="172" spans="1:1">
      <c r="A172" t="str">
        <f xml:space="preserve">IF(B172="","",COUNTA(B$4:B172))</f>
        <v/>
      </c>
    </row>
    <row r="173" spans="1:1">
      <c r="A173" t="str">
        <f xml:space="preserve">IF(B173="","",COUNTA(B$4:B173))</f>
        <v/>
      </c>
    </row>
    <row r="174" spans="1:1">
      <c r="A174" t="str">
        <f xml:space="preserve">IF(B174="","",COUNTA(B$4:B174))</f>
        <v/>
      </c>
    </row>
    <row r="175" spans="1:1">
      <c r="A175" t="str">
        <f xml:space="preserve">IF(B175="","",COUNTA(B$4:B175))</f>
        <v/>
      </c>
    </row>
    <row r="176" spans="1:1">
      <c r="A176" t="str">
        <f xml:space="preserve">IF(B176="","",COUNTA(B$4:B176))</f>
        <v/>
      </c>
    </row>
    <row r="177" spans="1:1">
      <c r="A177" t="str">
        <f xml:space="preserve">IF(B177="","",COUNTA(B$4:B177))</f>
        <v/>
      </c>
    </row>
    <row r="178" spans="1:1">
      <c r="A178" t="str">
        <f xml:space="preserve">IF(B178="","",COUNTA(B$4:B178))</f>
        <v/>
      </c>
    </row>
    <row r="179" spans="1:1">
      <c r="A179" t="str">
        <f xml:space="preserve">IF(B179="","",COUNTA(B$4:B179))</f>
        <v/>
      </c>
    </row>
    <row r="180" spans="1:1">
      <c r="A180" t="str">
        <f xml:space="preserve">IF(B180="","",COUNTA(B$4:B180))</f>
        <v/>
      </c>
    </row>
    <row r="181" spans="1:1">
      <c r="A181" t="str">
        <f xml:space="preserve">IF(B181="","",COUNTA(B$4:B181))</f>
        <v/>
      </c>
    </row>
    <row r="182" spans="1:1">
      <c r="A182" t="str">
        <f xml:space="preserve">IF(B182="","",COUNTA(B$4:B182))</f>
        <v/>
      </c>
    </row>
    <row r="183" spans="1:1">
      <c r="A183" t="str">
        <f xml:space="preserve">IF(B183="","",COUNTA(B$4:B183))</f>
        <v/>
      </c>
    </row>
    <row r="184" spans="1:1">
      <c r="A184" t="str">
        <f xml:space="preserve">IF(B184="","",COUNTA(B$4:B184))</f>
        <v/>
      </c>
    </row>
    <row r="185" spans="1:1">
      <c r="A185" t="str">
        <f xml:space="preserve">IF(B185="","",COUNTA(B$4:B185))</f>
        <v/>
      </c>
    </row>
    <row r="186" spans="1:1">
      <c r="A186" t="str">
        <f xml:space="preserve">IF(B186="","",COUNTA(B$4:B186))</f>
        <v/>
      </c>
    </row>
    <row r="187" spans="1:1">
      <c r="A187" t="str">
        <f xml:space="preserve">IF(B187="","",COUNTA(B$4:B187))</f>
        <v/>
      </c>
    </row>
    <row r="188" spans="1:1">
      <c r="A188" t="str">
        <f xml:space="preserve">IF(B188="","",COUNTA(B$4:B188))</f>
        <v/>
      </c>
    </row>
    <row r="189" spans="1:1">
      <c r="A189" t="str">
        <f xml:space="preserve">IF(B189="","",COUNTA(B$4:B189))</f>
        <v/>
      </c>
    </row>
    <row r="190" spans="1:1">
      <c r="A190" t="str">
        <f xml:space="preserve">IF(B190="","",COUNTA(B$4:B190))</f>
        <v/>
      </c>
    </row>
    <row r="191" spans="1:1">
      <c r="A191" t="str">
        <f xml:space="preserve">IF(B191="","",COUNTA(B$4:B191))</f>
        <v/>
      </c>
    </row>
    <row r="192" spans="1:1">
      <c r="A192" t="str">
        <f xml:space="preserve">IF(B192="","",COUNTA(B$4:B192))</f>
        <v/>
      </c>
    </row>
    <row r="193" spans="1:1">
      <c r="A193" t="str">
        <f xml:space="preserve">IF(B193="","",COUNTA(B$4:B193))</f>
        <v/>
      </c>
    </row>
    <row r="194" spans="1:1">
      <c r="A194" t="str">
        <f xml:space="preserve">IF(B194="","",COUNTA(B$4:B194))</f>
        <v/>
      </c>
    </row>
    <row r="195" spans="1:1">
      <c r="A195" t="str">
        <f xml:space="preserve">IF(B195="","",COUNTA(B$4:B195))</f>
        <v/>
      </c>
    </row>
    <row r="196" spans="1:1">
      <c r="A196" t="str">
        <f xml:space="preserve">IF(B196="","",COUNTA(B$4:B196))</f>
        <v/>
      </c>
    </row>
    <row r="197" spans="1:1">
      <c r="A197" t="str">
        <f xml:space="preserve">IF(B197="","",COUNTA(B$4:B197))</f>
        <v/>
      </c>
    </row>
    <row r="198" spans="1:1">
      <c r="A198" t="str">
        <f xml:space="preserve">IF(B198="","",COUNTA(B$4:B198))</f>
        <v/>
      </c>
    </row>
    <row r="199" spans="1:1">
      <c r="A199" t="str">
        <f xml:space="preserve">IF(B199="","",COUNTA(B$4:B199))</f>
        <v/>
      </c>
    </row>
    <row r="200" spans="1:1">
      <c r="A200" t="str">
        <f xml:space="preserve">IF(B200="","",COUNTA(B$4:B200))</f>
        <v/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M1"/>
  </mergeCells>
  <dataValidations count="2">
    <dataValidation type="list" allowBlank="1" sqref="C4:C200">
      <formula1>"本部,县级公司"</formula1>
    </dataValidation>
    <dataValidation type="list" allowBlank="1" sqref="F4:F200">
      <formula1>"健身房,球场,职工书屋,棋牌室,瑜伽室,舞蹈室,乒乓球室,台球室,母婴室,心理关爱室,多功能厅,其他"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ySplit="3" topLeftCell="A4" activePane="bottomLeft" state="frozen"/>
      <selection/>
      <selection pane="bottomLeft" activeCell="A1" sqref="A1:K1"/>
    </sheetView>
  </sheetViews>
  <sheetFormatPr defaultColWidth="9" defaultRowHeight="13.5" outlineLevelRow="3"/>
  <cols>
    <col min="1" max="1" width="6" customWidth="1"/>
    <col min="2" max="2" width="24" customWidth="1"/>
    <col min="3" max="3" width="14" customWidth="1"/>
    <col min="4" max="4" width="16" customWidth="1"/>
    <col min="5" max="5" width="12" customWidth="1"/>
    <col min="6" max="6" width="16" customWidth="1"/>
    <col min="7" max="7" width="20" customWidth="1"/>
    <col min="8" max="8" width="18" customWidth="1"/>
    <col min="9" max="9" width="12" customWidth="1"/>
    <col min="10" max="10" width="14" customWidth="1"/>
    <col min="11" max="11" width="22" customWidth="1"/>
  </cols>
  <sheetData>
    <row r="1" ht="24" customHeight="1" spans="1:11">
      <c r="A1" s="1" t="s">
        <v>42</v>
      </c>
    </row>
    <row r="3" ht="30" customHeight="1" spans="1:11">
      <c r="A3" s="2" t="s">
        <v>17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28</v>
      </c>
      <c r="K3" s="2" t="s">
        <v>29</v>
      </c>
    </row>
    <row r="4" ht="16.5" spans="1:11">
      <c r="A4" s="3" t="s">
        <v>51</v>
      </c>
      <c r="B4" s="3" t="s">
        <v>30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39</v>
      </c>
      <c r="J4" s="3" t="s">
        <v>40</v>
      </c>
      <c r="K4" s="3" t="s">
        <v>58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K1"/>
  </mergeCells>
  <dataValidations count="2">
    <dataValidation type="list" allowBlank="1" sqref="E4:E500">
      <formula1>"联网型,独立刷卡机"</formula1>
    </dataValidation>
    <dataValidation type="list" allowBlank="1" sqref="F4:F500">
      <formula1>"厂商SDK,网络继电器,记录采集器"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3" topLeftCell="A4" activePane="bottomLeft" state="frozen"/>
      <selection/>
      <selection pane="bottomLeft" activeCell="A1" sqref="A1:J1"/>
    </sheetView>
  </sheetViews>
  <sheetFormatPr defaultColWidth="9" defaultRowHeight="13.5" outlineLevelRow="3"/>
  <cols>
    <col min="1" max="1" width="6" customWidth="1"/>
    <col min="2" max="2" width="24" customWidth="1"/>
    <col min="3" max="3" width="12" customWidth="1"/>
    <col min="4" max="4" width="16" customWidth="1"/>
    <col min="5" max="5" width="14" customWidth="1"/>
    <col min="6" max="6" width="20" customWidth="1"/>
    <col min="7" max="7" width="12" customWidth="1"/>
    <col min="8" max="8" width="18" customWidth="1"/>
    <col min="9" max="10" width="22" customWidth="1"/>
  </cols>
  <sheetData>
    <row r="1" ht="24" customHeight="1" spans="1:10">
      <c r="A1" s="1" t="s">
        <v>59</v>
      </c>
    </row>
    <row r="3" ht="30" customHeight="1" spans="1:10">
      <c r="A3" s="2" t="s">
        <v>17</v>
      </c>
      <c r="B3" s="2" t="s">
        <v>43</v>
      </c>
      <c r="C3" s="2" t="s">
        <v>60</v>
      </c>
      <c r="D3" s="2" t="s">
        <v>45</v>
      </c>
      <c r="E3" s="2" t="s">
        <v>61</v>
      </c>
      <c r="F3" s="2" t="s">
        <v>62</v>
      </c>
      <c r="G3" s="2" t="s">
        <v>63</v>
      </c>
      <c r="H3" s="2" t="s">
        <v>49</v>
      </c>
      <c r="I3" s="2" t="s">
        <v>64</v>
      </c>
      <c r="J3" s="2" t="s">
        <v>29</v>
      </c>
    </row>
    <row r="4" ht="16.5" spans="1:10">
      <c r="A4" s="3" t="s">
        <v>51</v>
      </c>
      <c r="B4" s="3" t="s">
        <v>30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  <c r="J4" s="3" t="s">
        <v>72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J1"/>
  </mergeCells>
  <dataValidations count="2">
    <dataValidation type="list" allowBlank="1" sqref="C4:C500">
      <formula1>"萤石,海康,大华,天地伟业,其他,不详"</formula1>
    </dataValidation>
    <dataValidation type="list" allowBlank="1" sqref="E4:E500">
      <formula1>"萤石云,海康互联,大华乐橙,GB28181,未接入,其他"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lingclaw:76575516760536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填表说明</vt:lpstr>
      <vt:lpstr>阵地台账</vt:lpstr>
      <vt:lpstr>门禁设备清单</vt:lpstr>
      <vt:lpstr>摄像头设备清单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2026-10-15T09:56:00Z</dcterms:created>
  <dcterms:modified xsi:type="dcterms:W3CDTF">2026-10-15T09:56:00Z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2052-12.9.0.29208</vt:lpwstr>
  </property>
  <property fmtid="{D5CDD505-2E9C-101B-9397-08002B2CF9AE}" pid="3" name="CalculationRule">
    <vt:i4>0</vt:i4>
  </property>
</Properties>
</file>